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shou\Desktop\"/>
    </mc:Choice>
  </mc:AlternateContent>
  <bookViews>
    <workbookView xWindow="0" yWindow="0" windowWidth="19200" windowHeight="6930"/>
  </bookViews>
  <sheets>
    <sheet name="CaseStudy2" sheetId="1" r:id="rId1"/>
    <sheet name="Sheet1" sheetId="2" r:id="rId2"/>
  </sheets>
  <definedNames>
    <definedName name="solver_adj" localSheetId="0" hidden="1">CaseStudy2!$B$3:$H$6,CaseStudy2!$B$32:$H$33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CaseStudy2!$B$32:$H$32</definedName>
    <definedName name="solver_lhs10" localSheetId="0" hidden="1">CaseStudy2!$I$3:$I$6</definedName>
    <definedName name="solver_lhs2" localSheetId="0" hidden="1">CaseStudy2!$B$32:$H$32</definedName>
    <definedName name="solver_lhs3" localSheetId="0" hidden="1">CaseStudy2!$B$33:$H$33</definedName>
    <definedName name="solver_lhs4" localSheetId="0" hidden="1">CaseStudy2!$B$33:$H$33</definedName>
    <definedName name="solver_lhs5" localSheetId="0" hidden="1">CaseStudy2!$B$34:$H$34</definedName>
    <definedName name="solver_lhs6" localSheetId="0" hidden="1">CaseStudy2!$B$3:$H$6</definedName>
    <definedName name="solver_lhs7" localSheetId="0" hidden="1">CaseStudy2!$B$7:$H$7</definedName>
    <definedName name="solver_lhs8" localSheetId="0" hidden="1">CaseStudy2!$I$32:$I$33</definedName>
    <definedName name="solver_lhs9" localSheetId="0" hidden="1">CaseStudy2!$I$3:$I$6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9</definedName>
    <definedName name="solver_nwt" localSheetId="0" hidden="1">1</definedName>
    <definedName name="solver_opt" localSheetId="0" hidden="1">CaseStudy2!$B$23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2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5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1" localSheetId="0" hidden="1">CaseStudy2!$B$3:$H$3</definedName>
    <definedName name="solver_rhs10" localSheetId="0" hidden="1">CaseStudy2!$J$3:$J$6</definedName>
    <definedName name="solver_rhs2" localSheetId="0" hidden="1">CaseStudy2!$B$6:$H$6</definedName>
    <definedName name="solver_rhs3" localSheetId="0" hidden="1">CaseStudy2!$B$5:$H$5</definedName>
    <definedName name="solver_rhs4" localSheetId="0" hidden="1">CaseStudy2!$B$6:$H$6</definedName>
    <definedName name="solver_rhs5" localSheetId="0" hidden="1">CaseStudy2!$J$34</definedName>
    <definedName name="solver_rhs6" localSheetId="0" hidden="1">"binary"</definedName>
    <definedName name="solver_rhs7" localSheetId="0" hidden="1">CaseStudy2!$B$8:$H$8</definedName>
    <definedName name="solver_rhs8" localSheetId="0" hidden="1">CaseStudy2!$J$32:$J$33</definedName>
    <definedName name="solver_rhs9" localSheetId="0" hidden="1">CaseStudy2!$J$3:$J$6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B34" i="1"/>
  <c r="I33" i="1"/>
  <c r="I32" i="1"/>
  <c r="I3" i="1" l="1"/>
  <c r="I4" i="1"/>
  <c r="I5" i="1"/>
  <c r="I6" i="1"/>
  <c r="B7" i="1"/>
  <c r="C7" i="1"/>
  <c r="D7" i="1"/>
  <c r="E7" i="1"/>
  <c r="F7" i="1"/>
  <c r="G7" i="1"/>
  <c r="H7" i="1"/>
  <c r="B19" i="1"/>
  <c r="B20" i="1"/>
  <c r="B21" i="1"/>
  <c r="B22" i="1"/>
  <c r="B27" i="1"/>
  <c r="B28" i="1"/>
  <c r="B29" i="1"/>
  <c r="B23" i="1" l="1"/>
</calcChain>
</file>

<file path=xl/sharedStrings.xml><?xml version="1.0" encoding="utf-8"?>
<sst xmlns="http://schemas.openxmlformats.org/spreadsheetml/2006/main" count="109" uniqueCount="70">
  <si>
    <t>DECISION VARIABLES (1 = Assigned, 0 = Not Assigned)</t>
  </si>
  <si>
    <t>Instructor</t>
  </si>
  <si>
    <t>Slot 1</t>
  </si>
  <si>
    <t>Slot 2</t>
  </si>
  <si>
    <t>Slot 3</t>
  </si>
  <si>
    <t>Slot 4</t>
  </si>
  <si>
    <t>Slot 5</t>
  </si>
  <si>
    <t>Slot 6</t>
  </si>
  <si>
    <t>Slot 7</t>
  </si>
  <si>
    <t>Total Assigned</t>
  </si>
  <si>
    <t>Required</t>
  </si>
  <si>
    <t>Liv</t>
  </si>
  <si>
    <t>Kim</t>
  </si>
  <si>
    <t>Dan</t>
  </si>
  <si>
    <t>Josh</t>
  </si>
  <si>
    <t>Total per Slot</t>
  </si>
  <si>
    <t>Required Coverage</t>
  </si>
  <si>
    <t>PREFERENCE SCORES</t>
  </si>
  <si>
    <t>OBJECTIVE FUNCTION (Satisfaction Scores)</t>
  </si>
  <si>
    <t>Base Score</t>
  </si>
  <si>
    <t>Total Overall Score</t>
  </si>
  <si>
    <t>JOSH PAIRING CONSTRAINTS</t>
  </si>
  <si>
    <t>Pairing</t>
  </si>
  <si>
    <t>Shared Count</t>
  </si>
  <si>
    <t>Josh &amp; Liv</t>
  </si>
  <si>
    <t>Josh &amp; Dan</t>
  </si>
  <si>
    <t>Josh &amp; Kim</t>
  </si>
  <si>
    <t xml:space="preserve">Josh and Liv pair </t>
  </si>
  <si>
    <t>Josh and Dan pair</t>
  </si>
  <si>
    <t>Josh and Kim pair</t>
  </si>
  <si>
    <t>The Goal (Objective)</t>
  </si>
  <si>
    <r>
      <t xml:space="preserve">The model aims to </t>
    </r>
    <r>
      <rPr>
        <b/>
        <sz val="11"/>
        <color theme="1"/>
        <rFont val="Arial"/>
        <family val="2"/>
      </rPr>
      <t>maximize the Total Satisfaction Score</t>
    </r>
    <r>
      <rPr>
        <sz val="11"/>
        <color theme="1"/>
        <rFont val="Arial"/>
        <family val="2"/>
      </rPr>
      <t>. Each instructor has given a "Preference Score" for each slot:</t>
    </r>
  </si>
  <si>
    <r>
      <t>Positive numbers</t>
    </r>
    <r>
      <rPr>
        <sz val="11"/>
        <color theme="1"/>
        <rFont val="Arial"/>
        <family val="2"/>
      </rPr>
      <t xml:space="preserve"> (like 2) mean they really want that slot.</t>
    </r>
  </si>
  <si>
    <r>
      <t>Zero</t>
    </r>
    <r>
      <rPr>
        <sz val="11"/>
        <color theme="1"/>
        <rFont val="Arial"/>
        <family val="2"/>
      </rPr>
      <t xml:space="preserve"> (0) means they are neutral.</t>
    </r>
  </si>
  <si>
    <r>
      <t>Negative numbers</t>
    </r>
    <r>
      <rPr>
        <sz val="11"/>
        <color theme="1"/>
        <rFont val="Arial"/>
        <family val="2"/>
      </rPr>
      <t xml:space="preserve"> (like -2) mean they really dislike that slot.</t>
    </r>
  </si>
  <si>
    <t>The Rules (Constraints)</t>
  </si>
  <si>
    <t>To make the schedule realistic, we have three types of rules:</t>
  </si>
  <si>
    <r>
      <t>2. Full Coverage</t>
    </r>
    <r>
      <rPr>
        <sz val="11"/>
        <color theme="1"/>
        <rFont val="Arial"/>
        <family val="2"/>
      </rPr>
      <t xml:space="preserve">: Every single slot must have exactly </t>
    </r>
    <r>
      <rPr>
        <b/>
        <sz val="11"/>
        <color theme="1"/>
        <rFont val="Arial"/>
        <family val="2"/>
      </rPr>
      <t>2 instructors</t>
    </r>
    <r>
      <rPr>
        <sz val="11"/>
        <color theme="1"/>
        <rFont val="Arial"/>
        <family val="2"/>
      </rPr>
      <t xml:space="preserve"> present.</t>
    </r>
  </si>
  <si>
    <r>
      <t>3. Pairing Requirements</t>
    </r>
    <r>
      <rPr>
        <sz val="11"/>
        <color theme="1"/>
        <rFont val="Arial"/>
        <family val="2"/>
      </rPr>
      <t>: This is a special rule for Josh:</t>
    </r>
  </si>
  <si>
    <r>
      <t xml:space="preserve">He </t>
    </r>
    <r>
      <rPr>
        <b/>
        <sz val="11"/>
        <color theme="1"/>
        <rFont val="Arial"/>
        <family val="2"/>
      </rPr>
      <t>must</t>
    </r>
    <r>
      <rPr>
        <sz val="11"/>
        <color theme="1"/>
        <rFont val="Arial"/>
        <family val="2"/>
      </rPr>
      <t xml:space="preserve"> work with Liv exactly once.</t>
    </r>
  </si>
  <si>
    <r>
      <t xml:space="preserve">He </t>
    </r>
    <r>
      <rPr>
        <b/>
        <sz val="11"/>
        <color theme="1"/>
        <rFont val="Arial"/>
        <family val="2"/>
      </rPr>
      <t>must</t>
    </r>
    <r>
      <rPr>
        <sz val="11"/>
        <color theme="1"/>
        <rFont val="Arial"/>
        <family val="2"/>
      </rPr>
      <t xml:space="preserve"> work with Dan exactly once.</t>
    </r>
  </si>
  <si>
    <r>
      <t xml:space="preserve">He </t>
    </r>
    <r>
      <rPr>
        <b/>
        <sz val="11"/>
        <color theme="1"/>
        <rFont val="Arial"/>
        <family val="2"/>
      </rPr>
      <t>cannot</t>
    </r>
    <r>
      <rPr>
        <sz val="11"/>
        <color theme="1"/>
        <rFont val="Arial"/>
        <family val="2"/>
      </rPr>
      <t xml:space="preserve"> work with Kim at all.</t>
    </r>
  </si>
  <si>
    <t>2. The Solution Analysis</t>
  </si>
  <si>
    <r>
      <t xml:space="preserve">After running the solver, we found that the best possible schedule achieves a </t>
    </r>
    <r>
      <rPr>
        <b/>
        <sz val="11"/>
        <color theme="1"/>
        <rFont val="Arial"/>
        <family val="2"/>
      </rPr>
      <t>Total Satisfaction Score of 10</t>
    </r>
    <r>
      <rPr>
        <sz val="11"/>
        <color theme="1"/>
        <rFont val="Arial"/>
        <family val="2"/>
      </rPr>
      <t>.</t>
    </r>
  </si>
  <si>
    <t>The Optimal Schedule:</t>
  </si>
  <si>
    <t>Slot</t>
  </si>
  <si>
    <t>Instructor 1</t>
  </si>
  <si>
    <t>Instructor 2</t>
  </si>
  <si>
    <t>Why this works:</t>
  </si>
  <si>
    <r>
      <t>Fairness in Coverage</t>
    </r>
    <r>
      <rPr>
        <sz val="11"/>
        <color theme="1"/>
        <rFont val="Arial"/>
        <family val="2"/>
      </rPr>
      <t>: Every slot has 2 people.</t>
    </r>
  </si>
  <si>
    <r>
      <t>Meeting the Load</t>
    </r>
    <r>
      <rPr>
        <sz val="11"/>
        <color theme="1"/>
        <rFont val="Arial"/>
        <family val="2"/>
      </rPr>
      <t>: Liv, Kim, and Dan all work 4 slots; Josh works 2.</t>
    </r>
  </si>
  <si>
    <r>
      <t>Josh's Rules</t>
    </r>
    <r>
      <rPr>
        <sz val="11"/>
        <color theme="1"/>
        <rFont val="Arial"/>
        <family val="2"/>
      </rPr>
      <t>: Josh is paired with Liv in Slot 1 and Dan in Slot 6. He never sees Kim.</t>
    </r>
  </si>
  <si>
    <r>
      <t>Happiness Distribution</t>
    </r>
    <r>
      <rPr>
        <sz val="11"/>
        <color theme="1"/>
        <rFont val="Arial"/>
        <family val="2"/>
      </rPr>
      <t>:</t>
    </r>
  </si>
  <si>
    <r>
      <t>Kim</t>
    </r>
    <r>
      <rPr>
        <sz val="11"/>
        <color theme="1"/>
        <rFont val="Arial"/>
        <family val="2"/>
      </rPr>
      <t xml:space="preserve"> is very happy (Score: 7) because she got mostly "2" preference slots.</t>
    </r>
  </si>
  <si>
    <r>
      <t>Dan</t>
    </r>
    <r>
      <rPr>
        <sz val="11"/>
        <color theme="1"/>
        <rFont val="Arial"/>
        <family val="2"/>
      </rPr>
      <t xml:space="preserve"> is also happy (Score: 6).</t>
    </r>
  </si>
  <si>
    <r>
      <t>Liv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Josh</t>
    </r>
    <r>
      <rPr>
        <sz val="11"/>
        <color theme="1"/>
        <rFont val="Arial"/>
        <family val="2"/>
      </rPr>
      <t xml:space="preserve"> took the "less popular" slots (Scores: -1 and -2) to make the overall schedule work.</t>
    </r>
  </si>
  <si>
    <t>3. How the Model Can Be Changed or Alternated</t>
  </si>
  <si>
    <t>The current model is a "Hard Constraint" model—it treats rules as unbreakable. Here is how we could change it to see different outcomes:</t>
  </si>
  <si>
    <t>A. The "Weighted Fairness" Alternative</t>
  </si>
  <si>
    <r>
      <t xml:space="preserve">Currently, the model just looks at the </t>
    </r>
    <r>
      <rPr>
        <i/>
        <sz val="11"/>
        <color theme="1"/>
        <rFont val="Arial"/>
        <family val="2"/>
      </rPr>
      <t>total</t>
    </r>
    <r>
      <rPr>
        <sz val="11"/>
        <color theme="1"/>
        <rFont val="Arial"/>
        <family val="2"/>
      </rPr>
      <t xml:space="preserve"> score. This allowed Kim to get a score of 7 while Josh got a -2.</t>
    </r>
  </si>
  <si>
    <r>
      <t>Change</t>
    </r>
    <r>
      <rPr>
        <sz val="11"/>
        <color theme="1"/>
        <rFont val="Arial"/>
        <family val="2"/>
      </rPr>
      <t>: We could add a rule that "No instructor can have a score lower than 0."</t>
    </r>
  </si>
  <si>
    <r>
      <t>Result</t>
    </r>
    <r>
      <rPr>
        <sz val="11"/>
        <color theme="1"/>
        <rFont val="Arial"/>
        <family val="2"/>
      </rPr>
      <t>: The total score might drop to 8 or 9, but the happiness would be spread more evenly across the team.</t>
    </r>
  </si>
  <si>
    <t>B. The "Flexible Pairing" Alternative</t>
  </si>
  <si>
    <t>The Josh-Kim pairing rule is currently "0 shared slots."</t>
  </si>
  <si>
    <r>
      <t>Result</t>
    </r>
    <r>
      <rPr>
        <sz val="11"/>
        <color theme="1"/>
        <rFont val="Arial"/>
        <family val="2"/>
      </rPr>
      <t>: The solver might decide that putting them together once is worth it if it allows everyone else to get their favorite slots.</t>
    </r>
  </si>
  <si>
    <t>C. Changing Staffing Levels</t>
  </si>
  <si>
    <r>
      <t>Change</t>
    </r>
    <r>
      <rPr>
        <sz val="11"/>
        <color theme="1"/>
        <rFont val="Arial"/>
        <family val="2"/>
      </rPr>
      <t>: If a slot is "easy," maybe it only needs 1 instructor. If it's "hard," maybe it needs 3.</t>
    </r>
  </si>
  <si>
    <r>
      <t>Result</t>
    </r>
    <r>
      <rPr>
        <sz val="11"/>
        <color theme="1"/>
        <rFont val="Arial"/>
        <family val="2"/>
      </rPr>
      <t>: This would drastically change the workload balance and could allow instructors to avoid their least favorite times entirely</t>
    </r>
  </si>
  <si>
    <r>
      <t>Change</t>
    </r>
    <r>
      <rPr>
        <sz val="11"/>
        <color theme="1"/>
        <rFont val="Arial"/>
        <family val="2"/>
      </rPr>
      <t>: If we made this a "Soft Constraint"? Instead of banning them from working together, we could just say "If Josh and Kim work together, subtract 5 points from the total score."</t>
    </r>
  </si>
  <si>
    <r>
      <t>1. Individual Workloads</t>
    </r>
    <r>
      <rPr>
        <sz val="11"/>
        <color theme="1"/>
        <rFont val="Arial"/>
        <family val="2"/>
      </rPr>
      <t xml:space="preserve">: Each person has a set number of slots they </t>
    </r>
    <r>
      <rPr>
        <i/>
        <sz val="11"/>
        <color theme="1"/>
        <rFont val="Arial"/>
        <family val="2"/>
      </rPr>
      <t>must</t>
    </r>
    <r>
      <rPr>
        <sz val="11"/>
        <color theme="1"/>
        <rFont val="Arial"/>
        <family val="2"/>
      </rPr>
      <t xml:space="preserve"> work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</si>
</sst>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0" xfId="0" applyFont="1" applyAlignment="1">
      <alignment horizontal="left" vertical="center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E24" sqref="E24"/>
    </sheetView>
  </sheetViews>
  <sheetFormatPr defaultRowHeight="14.5" x14ac:dyDescent="0.35"/>
  <cols>
    <col min="1" max="1" width="45.6328125" bestFit="1" customWidth="1"/>
    <col min="9" max="9" width="12.90625" bestFit="1" customWidth="1"/>
  </cols>
  <sheetData>
    <row r="1" spans="1:10" x14ac:dyDescent="0.35">
      <c r="A1" s="3" t="s">
        <v>0</v>
      </c>
    </row>
    <row r="2" spans="1:10" x14ac:dyDescent="0.35">
      <c r="A2" s="3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5">
      <c r="A3" t="s">
        <v>11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>
        <f>SUM(B3:H3)</f>
        <v>4</v>
      </c>
      <c r="J3">
        <v>4</v>
      </c>
    </row>
    <row r="4" spans="1:10" x14ac:dyDescent="0.35">
      <c r="A4" t="s">
        <v>12</v>
      </c>
      <c r="B4" s="2">
        <v>0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0</v>
      </c>
      <c r="I4">
        <f>SUM(B4:H4)</f>
        <v>4</v>
      </c>
      <c r="J4">
        <v>4</v>
      </c>
    </row>
    <row r="5" spans="1:10" x14ac:dyDescent="0.35">
      <c r="A5" t="s">
        <v>13</v>
      </c>
      <c r="B5" s="2">
        <v>0</v>
      </c>
      <c r="C5" s="2">
        <v>0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>
        <f>SUM(B5:H5)</f>
        <v>4</v>
      </c>
      <c r="J5">
        <v>4</v>
      </c>
    </row>
    <row r="6" spans="1:10" x14ac:dyDescent="0.35">
      <c r="A6" t="s">
        <v>14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>
        <f>SUM(B6:H6)</f>
        <v>2</v>
      </c>
      <c r="J6">
        <v>2</v>
      </c>
    </row>
    <row r="7" spans="1:10" x14ac:dyDescent="0.35">
      <c r="A7" t="s">
        <v>15</v>
      </c>
      <c r="B7">
        <f t="shared" ref="B7:H7" si="0">SUM(B3:B6)</f>
        <v>2</v>
      </c>
      <c r="C7">
        <f t="shared" si="0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</row>
    <row r="8" spans="1:10" x14ac:dyDescent="0.35">
      <c r="A8" t="s">
        <v>16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10" spans="1:10" x14ac:dyDescent="0.35">
      <c r="A10" s="3" t="s">
        <v>17</v>
      </c>
    </row>
    <row r="11" spans="1:10" x14ac:dyDescent="0.3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</row>
    <row r="12" spans="1:10" x14ac:dyDescent="0.35">
      <c r="A12" t="s">
        <v>11</v>
      </c>
      <c r="B12">
        <v>-1</v>
      </c>
      <c r="C12">
        <v>0</v>
      </c>
      <c r="D12">
        <v>0</v>
      </c>
      <c r="E12">
        <v>-2</v>
      </c>
      <c r="F12">
        <v>-2</v>
      </c>
      <c r="G12">
        <v>-2</v>
      </c>
      <c r="H12">
        <v>0</v>
      </c>
    </row>
    <row r="13" spans="1:10" x14ac:dyDescent="0.35">
      <c r="A13" t="s">
        <v>12</v>
      </c>
      <c r="B13">
        <v>-2</v>
      </c>
      <c r="C13">
        <v>1</v>
      </c>
      <c r="D13">
        <v>2</v>
      </c>
      <c r="E13">
        <v>2</v>
      </c>
      <c r="F13">
        <v>2</v>
      </c>
      <c r="G13">
        <v>-1</v>
      </c>
      <c r="H13">
        <v>-2</v>
      </c>
    </row>
    <row r="14" spans="1:10" x14ac:dyDescent="0.35">
      <c r="A14" t="s">
        <v>13</v>
      </c>
      <c r="B14">
        <v>0</v>
      </c>
      <c r="C14">
        <v>1</v>
      </c>
      <c r="D14">
        <v>2</v>
      </c>
      <c r="E14">
        <v>2</v>
      </c>
      <c r="F14">
        <v>2</v>
      </c>
      <c r="G14">
        <v>2</v>
      </c>
      <c r="H14">
        <v>0</v>
      </c>
    </row>
    <row r="15" spans="1:10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-2</v>
      </c>
      <c r="H15">
        <v>-2</v>
      </c>
    </row>
    <row r="17" spans="1:10" x14ac:dyDescent="0.35">
      <c r="A17" s="3" t="s">
        <v>18</v>
      </c>
    </row>
    <row r="18" spans="1:10" x14ac:dyDescent="0.35">
      <c r="A18" t="s">
        <v>1</v>
      </c>
      <c r="B18" t="s">
        <v>19</v>
      </c>
    </row>
    <row r="19" spans="1:10" x14ac:dyDescent="0.35">
      <c r="A19" t="s">
        <v>11</v>
      </c>
      <c r="B19">
        <f>SUMPRODUCT(B3:H3,B12:H12)</f>
        <v>-1</v>
      </c>
    </row>
    <row r="20" spans="1:10" x14ac:dyDescent="0.35">
      <c r="A20" t="s">
        <v>12</v>
      </c>
      <c r="B20">
        <f>SUMPRODUCT(B4:H4,B13:H13)</f>
        <v>7</v>
      </c>
    </row>
    <row r="21" spans="1:10" x14ac:dyDescent="0.35">
      <c r="A21" t="s">
        <v>13</v>
      </c>
      <c r="B21">
        <f>SUMPRODUCT(B5:H5,B14:H14)</f>
        <v>6</v>
      </c>
    </row>
    <row r="22" spans="1:10" x14ac:dyDescent="0.35">
      <c r="A22" t="s">
        <v>14</v>
      </c>
      <c r="B22">
        <f>SUMPRODUCT(B6:H6,B15:H15)</f>
        <v>-2</v>
      </c>
    </row>
    <row r="23" spans="1:10" x14ac:dyDescent="0.35">
      <c r="A23" t="s">
        <v>20</v>
      </c>
      <c r="B23" s="1">
        <f>SUM(B19:B22)</f>
        <v>10</v>
      </c>
    </row>
    <row r="25" spans="1:10" x14ac:dyDescent="0.35">
      <c r="A25" s="3" t="s">
        <v>21</v>
      </c>
    </row>
    <row r="26" spans="1:10" x14ac:dyDescent="0.35">
      <c r="A26" t="s">
        <v>22</v>
      </c>
      <c r="B26" t="s">
        <v>23</v>
      </c>
      <c r="C26" t="s">
        <v>10</v>
      </c>
    </row>
    <row r="27" spans="1:10" x14ac:dyDescent="0.35">
      <c r="A27" t="s">
        <v>24</v>
      </c>
      <c r="B27">
        <f>SUMPRODUCT(B6:H6,B3:H3)</f>
        <v>1</v>
      </c>
      <c r="C27">
        <v>1</v>
      </c>
    </row>
    <row r="28" spans="1:10" x14ac:dyDescent="0.35">
      <c r="A28" t="s">
        <v>25</v>
      </c>
      <c r="B28">
        <f>SUMPRODUCT(B6:H6,B5:H5)</f>
        <v>1</v>
      </c>
      <c r="C28">
        <v>1</v>
      </c>
    </row>
    <row r="29" spans="1:10" x14ac:dyDescent="0.35">
      <c r="A29" t="s">
        <v>26</v>
      </c>
      <c r="B29">
        <f>SUMPRODUCT(B6:H6,B4:H4)</f>
        <v>0</v>
      </c>
      <c r="C29">
        <v>0</v>
      </c>
    </row>
    <row r="32" spans="1:10" x14ac:dyDescent="0.35">
      <c r="A32" t="s">
        <v>27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>SUM(B32:H32)</f>
        <v>1</v>
      </c>
      <c r="J32">
        <v>1</v>
      </c>
    </row>
    <row r="33" spans="1:10" x14ac:dyDescent="0.35">
      <c r="A33" t="s">
        <v>28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f>SUM(B33:H33)</f>
        <v>1</v>
      </c>
      <c r="J33">
        <v>1</v>
      </c>
    </row>
    <row r="34" spans="1:10" x14ac:dyDescent="0.35">
      <c r="A34" t="s">
        <v>29</v>
      </c>
      <c r="B34">
        <f>B6+B4</f>
        <v>1</v>
      </c>
      <c r="C34">
        <f t="shared" ref="C34:H34" si="1">C6+C4</f>
        <v>1</v>
      </c>
      <c r="D34">
        <f t="shared" si="1"/>
        <v>1</v>
      </c>
      <c r="E34">
        <f t="shared" si="1"/>
        <v>1</v>
      </c>
      <c r="F34">
        <f t="shared" si="1"/>
        <v>1</v>
      </c>
      <c r="G34">
        <f t="shared" si="1"/>
        <v>1</v>
      </c>
      <c r="H34">
        <f t="shared" si="1"/>
        <v>0</v>
      </c>
      <c r="J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workbookViewId="0">
      <selection activeCell="L25" sqref="L25"/>
    </sheetView>
  </sheetViews>
  <sheetFormatPr defaultRowHeight="14.5" x14ac:dyDescent="0.35"/>
  <sheetData>
    <row r="1" spans="1:1" ht="15.5" x14ac:dyDescent="0.35">
      <c r="A1" s="6" t="s">
        <v>30</v>
      </c>
    </row>
    <row r="3" spans="1:1" x14ac:dyDescent="0.35">
      <c r="A3" s="5" t="s">
        <v>31</v>
      </c>
    </row>
    <row r="4" spans="1:1" x14ac:dyDescent="0.35">
      <c r="A4" s="7"/>
    </row>
    <row r="5" spans="1:1" x14ac:dyDescent="0.35">
      <c r="A5" s="8" t="s">
        <v>32</v>
      </c>
    </row>
    <row r="6" spans="1:1" x14ac:dyDescent="0.35">
      <c r="A6" s="7"/>
    </row>
    <row r="7" spans="1:1" x14ac:dyDescent="0.35">
      <c r="A7" s="8" t="s">
        <v>33</v>
      </c>
    </row>
    <row r="8" spans="1:1" x14ac:dyDescent="0.35">
      <c r="A8" s="7"/>
    </row>
    <row r="9" spans="1:1" x14ac:dyDescent="0.35">
      <c r="A9" s="8" t="s">
        <v>34</v>
      </c>
    </row>
    <row r="11" spans="1:1" ht="15.5" x14ac:dyDescent="0.35">
      <c r="A11" s="6" t="s">
        <v>35</v>
      </c>
    </row>
    <row r="13" spans="1:1" x14ac:dyDescent="0.35">
      <c r="A13" s="5" t="s">
        <v>36</v>
      </c>
    </row>
    <row r="14" spans="1:1" x14ac:dyDescent="0.35">
      <c r="A14" s="7"/>
    </row>
    <row r="15" spans="1:1" x14ac:dyDescent="0.35">
      <c r="A15" s="8" t="s">
        <v>69</v>
      </c>
    </row>
    <row r="16" spans="1:1" x14ac:dyDescent="0.35">
      <c r="A16" s="7"/>
    </row>
    <row r="17" spans="1:1" x14ac:dyDescent="0.35">
      <c r="A17" s="8" t="s">
        <v>37</v>
      </c>
    </row>
    <row r="18" spans="1:1" x14ac:dyDescent="0.35">
      <c r="A18" s="7"/>
    </row>
    <row r="19" spans="1:1" x14ac:dyDescent="0.35">
      <c r="A19" s="8" t="s">
        <v>38</v>
      </c>
    </row>
    <row r="20" spans="1:1" x14ac:dyDescent="0.35">
      <c r="A20" s="7"/>
    </row>
    <row r="21" spans="1:1" x14ac:dyDescent="0.35">
      <c r="A21" s="9"/>
    </row>
    <row r="22" spans="1:1" x14ac:dyDescent="0.35">
      <c r="A22" s="10" t="s">
        <v>39</v>
      </c>
    </row>
    <row r="23" spans="1:1" x14ac:dyDescent="0.35">
      <c r="A23" s="11"/>
    </row>
    <row r="24" spans="1:1" x14ac:dyDescent="0.35">
      <c r="A24" s="10" t="s">
        <v>40</v>
      </c>
    </row>
    <row r="25" spans="1:1" x14ac:dyDescent="0.35">
      <c r="A25" s="11"/>
    </row>
    <row r="26" spans="1:1" x14ac:dyDescent="0.35">
      <c r="A26" s="10" t="s">
        <v>41</v>
      </c>
    </row>
    <row r="28" spans="1:1" ht="17.5" x14ac:dyDescent="0.35">
      <c r="A28" s="4" t="s">
        <v>42</v>
      </c>
    </row>
    <row r="30" spans="1:1" x14ac:dyDescent="0.35">
      <c r="A30" s="5" t="s">
        <v>43</v>
      </c>
    </row>
    <row r="32" spans="1:1" x14ac:dyDescent="0.35">
      <c r="A32" s="12" t="s">
        <v>44</v>
      </c>
    </row>
    <row r="33" spans="1:3" ht="15" thickBot="1" x14ac:dyDescent="0.4"/>
    <row r="34" spans="1:3" ht="28.5" thickBot="1" x14ac:dyDescent="0.4">
      <c r="A34" s="13" t="s">
        <v>45</v>
      </c>
      <c r="B34" s="13" t="s">
        <v>46</v>
      </c>
      <c r="C34" s="13" t="s">
        <v>47</v>
      </c>
    </row>
    <row r="35" spans="1:3" ht="15" thickBot="1" x14ac:dyDescent="0.4">
      <c r="A35" s="13" t="s">
        <v>2</v>
      </c>
      <c r="B35" s="14" t="s">
        <v>11</v>
      </c>
      <c r="C35" s="14" t="s">
        <v>14</v>
      </c>
    </row>
    <row r="36" spans="1:3" ht="15" thickBot="1" x14ac:dyDescent="0.4">
      <c r="A36" s="13" t="s">
        <v>3</v>
      </c>
      <c r="B36" s="14" t="s">
        <v>11</v>
      </c>
      <c r="C36" s="14" t="s">
        <v>12</v>
      </c>
    </row>
    <row r="37" spans="1:3" ht="15" thickBot="1" x14ac:dyDescent="0.4">
      <c r="A37" s="13" t="s">
        <v>4</v>
      </c>
      <c r="B37" s="14" t="s">
        <v>11</v>
      </c>
      <c r="C37" s="14" t="s">
        <v>12</v>
      </c>
    </row>
    <row r="38" spans="1:3" ht="15" thickBot="1" x14ac:dyDescent="0.4">
      <c r="A38" s="13" t="s">
        <v>5</v>
      </c>
      <c r="B38" s="14" t="s">
        <v>12</v>
      </c>
      <c r="C38" s="14" t="s">
        <v>13</v>
      </c>
    </row>
    <row r="39" spans="1:3" ht="15" thickBot="1" x14ac:dyDescent="0.4">
      <c r="A39" s="13" t="s">
        <v>6</v>
      </c>
      <c r="B39" s="14" t="s">
        <v>12</v>
      </c>
      <c r="C39" s="14" t="s">
        <v>13</v>
      </c>
    </row>
    <row r="40" spans="1:3" ht="15" thickBot="1" x14ac:dyDescent="0.4">
      <c r="A40" s="13" t="s">
        <v>7</v>
      </c>
      <c r="B40" s="14" t="s">
        <v>13</v>
      </c>
      <c r="C40" s="14" t="s">
        <v>14</v>
      </c>
    </row>
    <row r="41" spans="1:3" ht="15" thickBot="1" x14ac:dyDescent="0.4">
      <c r="A41" s="13" t="s">
        <v>8</v>
      </c>
      <c r="B41" s="14" t="s">
        <v>11</v>
      </c>
      <c r="C41" s="14" t="s">
        <v>13</v>
      </c>
    </row>
    <row r="42" spans="1:3" x14ac:dyDescent="0.35">
      <c r="A42" s="12" t="s">
        <v>48</v>
      </c>
    </row>
    <row r="43" spans="1:3" x14ac:dyDescent="0.35">
      <c r="A43" s="7"/>
    </row>
    <row r="44" spans="1:3" x14ac:dyDescent="0.35">
      <c r="A44" s="8" t="s">
        <v>49</v>
      </c>
    </row>
    <row r="45" spans="1:3" x14ac:dyDescent="0.35">
      <c r="A45" s="7"/>
    </row>
    <row r="46" spans="1:3" x14ac:dyDescent="0.35">
      <c r="A46" s="8" t="s">
        <v>50</v>
      </c>
    </row>
    <row r="47" spans="1:3" x14ac:dyDescent="0.35">
      <c r="A47" s="7"/>
    </row>
    <row r="48" spans="1:3" x14ac:dyDescent="0.35">
      <c r="A48" s="8" t="s">
        <v>51</v>
      </c>
    </row>
    <row r="49" spans="1:1" x14ac:dyDescent="0.35">
      <c r="A49" s="7"/>
    </row>
    <row r="50" spans="1:1" x14ac:dyDescent="0.35">
      <c r="A50" s="8" t="s">
        <v>52</v>
      </c>
    </row>
    <row r="51" spans="1:1" x14ac:dyDescent="0.35">
      <c r="A51" s="7"/>
    </row>
    <row r="52" spans="1:1" x14ac:dyDescent="0.35">
      <c r="A52" s="9"/>
    </row>
    <row r="53" spans="1:1" x14ac:dyDescent="0.35">
      <c r="A53" s="15" t="s">
        <v>53</v>
      </c>
    </row>
    <row r="54" spans="1:1" x14ac:dyDescent="0.35">
      <c r="A54" s="11"/>
    </row>
    <row r="55" spans="1:1" x14ac:dyDescent="0.35">
      <c r="A55" s="15" t="s">
        <v>54</v>
      </c>
    </row>
    <row r="56" spans="1:1" x14ac:dyDescent="0.35">
      <c r="A56" s="11"/>
    </row>
    <row r="57" spans="1:1" x14ac:dyDescent="0.35">
      <c r="A57" s="15" t="s">
        <v>55</v>
      </c>
    </row>
    <row r="59" spans="1:1" ht="17.5" x14ac:dyDescent="0.35">
      <c r="A59" s="4" t="s">
        <v>56</v>
      </c>
    </row>
    <row r="61" spans="1:1" x14ac:dyDescent="0.35">
      <c r="A61" s="5" t="s">
        <v>57</v>
      </c>
    </row>
    <row r="63" spans="1:1" ht="15.5" x14ac:dyDescent="0.35">
      <c r="A63" s="6" t="s">
        <v>58</v>
      </c>
    </row>
    <row r="65" spans="1:1" x14ac:dyDescent="0.35">
      <c r="A65" s="5" t="s">
        <v>59</v>
      </c>
    </row>
    <row r="66" spans="1:1" x14ac:dyDescent="0.35">
      <c r="A66" s="7"/>
    </row>
    <row r="67" spans="1:1" x14ac:dyDescent="0.35">
      <c r="A67" s="8" t="s">
        <v>60</v>
      </c>
    </row>
    <row r="68" spans="1:1" x14ac:dyDescent="0.35">
      <c r="A68" s="7"/>
    </row>
    <row r="69" spans="1:1" x14ac:dyDescent="0.35">
      <c r="A69" s="8" t="s">
        <v>61</v>
      </c>
    </row>
    <row r="71" spans="1:1" ht="15.5" x14ac:dyDescent="0.35">
      <c r="A71" s="6" t="s">
        <v>62</v>
      </c>
    </row>
    <row r="73" spans="1:1" x14ac:dyDescent="0.35">
      <c r="A73" s="5" t="s">
        <v>63</v>
      </c>
    </row>
    <row r="74" spans="1:1" x14ac:dyDescent="0.35">
      <c r="A74" s="7"/>
    </row>
    <row r="75" spans="1:1" x14ac:dyDescent="0.35">
      <c r="A75" s="8" t="s">
        <v>68</v>
      </c>
    </row>
    <row r="76" spans="1:1" x14ac:dyDescent="0.35">
      <c r="A76" s="7"/>
    </row>
    <row r="77" spans="1:1" x14ac:dyDescent="0.35">
      <c r="A77" s="8" t="s">
        <v>64</v>
      </c>
    </row>
    <row r="79" spans="1:1" ht="15.5" x14ac:dyDescent="0.35">
      <c r="A79" s="6" t="s">
        <v>65</v>
      </c>
    </row>
    <row r="80" spans="1:1" x14ac:dyDescent="0.35">
      <c r="A80" s="7"/>
    </row>
    <row r="81" spans="1:1" x14ac:dyDescent="0.35">
      <c r="A81" s="8" t="s">
        <v>66</v>
      </c>
    </row>
    <row r="82" spans="1:1" x14ac:dyDescent="0.35">
      <c r="A82" s="7"/>
    </row>
    <row r="83" spans="1:1" x14ac:dyDescent="0.35">
      <c r="A83" s="8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4DAD1BE875D4EA74EF7472577AA21" ma:contentTypeVersion="4" ma:contentTypeDescription="Create a new document." ma:contentTypeScope="" ma:versionID="8c71c6add14f4e6298694b7ef3710f75">
  <xsd:schema xmlns:xsd="http://www.w3.org/2001/XMLSchema" xmlns:xs="http://www.w3.org/2001/XMLSchema" xmlns:p="http://schemas.microsoft.com/office/2006/metadata/properties" xmlns:ns3="ff065fc7-c697-4822-90fb-c3b86085bead" targetNamespace="http://schemas.microsoft.com/office/2006/metadata/properties" ma:root="true" ma:fieldsID="03f61b67508894adbcee6e56871e3fba" ns3:_="">
    <xsd:import namespace="ff065fc7-c697-4822-90fb-c3b86085be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65fc7-c697-4822-90fb-c3b86085be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B7C0A-5D98-4D57-9901-E1E87885FFFA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ff065fc7-c697-4822-90fb-c3b86085bead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4C41D14-4F31-4635-8A13-530BCBAE6F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2D4FA0-3AD9-43C8-91FA-8B855978E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65fc7-c697-4822-90fb-c3b86085b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CaseStudy2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Jubair Shourov</dc:creator>
  <cp:lastModifiedBy>Jubair Shourov</cp:lastModifiedBy>
  <dcterms:created xsi:type="dcterms:W3CDTF">2026-05-17T04:15:54Z</dcterms:created>
  <dcterms:modified xsi:type="dcterms:W3CDTF">2026-05-26T10:19:09Z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0x010100B4D4DAD1BE875D4EA74EF7472577AA21</vt:lpwstr>
  </property>
</Properties>
</file>